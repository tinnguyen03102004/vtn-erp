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03"/>
  <workbookPr/>
  <mc:AlternateContent xmlns:mc="http://schemas.openxmlformats.org/markup-compatibility/2006">
    <mc:Choice Requires="x15">
      <x15ac:absPath xmlns:x15ac="http://schemas.microsoft.com/office/spreadsheetml/2010/11/ac" url="D:\00.Khoa\00.Khoa\"/>
    </mc:Choice>
  </mc:AlternateContent>
  <xr:revisionPtr revIDLastSave="0" documentId="13_ncr:1_{66DD324F-7422-4653-AECA-A2C50010E8E6}" xr6:coauthVersionLast="47" xr6:coauthVersionMax="47" xr10:uidLastSave="{00000000-0000-0000-0000-000000000000}"/>
  <bookViews>
    <workbookView xWindow="-28920" yWindow="-165" windowWidth="29040" windowHeight="15720" xr2:uid="{00000000-000D-0000-FFFF-FFFF00000000}"/>
  </bookViews>
  <sheets>
    <sheet name="Phạm Nhựt Anh Kho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" i="1" l="1"/>
  <c r="L8" i="1" l="1"/>
  <c r="E8" i="1"/>
  <c r="F8" i="1"/>
  <c r="D8" i="1"/>
  <c r="J8" i="1" l="1"/>
  <c r="I8" i="1"/>
  <c r="D3" i="1" l="1"/>
  <c r="S8" i="1" l="1"/>
  <c r="T8" i="1" l="1"/>
  <c r="M8" i="1"/>
  <c r="AF8" i="1"/>
  <c r="Y8" i="1"/>
  <c r="R8" i="1"/>
  <c r="H8" i="1"/>
  <c r="P8" i="1"/>
  <c r="AI6" i="1" l="1"/>
  <c r="Q8" i="1" l="1"/>
  <c r="E2" i="1" l="1"/>
  <c r="AI8" i="1" l="1"/>
  <c r="V8" i="1" l="1"/>
  <c r="F2" i="1" l="1"/>
  <c r="F3" i="1" s="1"/>
  <c r="E3" i="1" l="1"/>
  <c r="G2" i="1"/>
  <c r="H2" i="1" s="1"/>
  <c r="H3" i="1" s="1"/>
  <c r="AG8" i="1"/>
  <c r="AE8" i="1"/>
  <c r="AD8" i="1"/>
  <c r="AC8" i="1"/>
  <c r="AB8" i="1"/>
  <c r="AA8" i="1"/>
  <c r="Z8" i="1"/>
  <c r="X8" i="1"/>
  <c r="W8" i="1"/>
  <c r="U8" i="1"/>
  <c r="O8" i="1"/>
  <c r="N8" i="1"/>
  <c r="AI7" i="1"/>
  <c r="G3" i="1" l="1"/>
  <c r="I2" i="1" l="1"/>
  <c r="J2" i="1" l="1"/>
  <c r="I3" i="1"/>
  <c r="K2" i="1" l="1"/>
  <c r="L2" i="1" s="1"/>
  <c r="L3" i="1" s="1"/>
  <c r="J3" i="1"/>
  <c r="K3" i="1" l="1"/>
  <c r="M2" i="1" l="1"/>
  <c r="N2" i="1" l="1"/>
  <c r="M3" i="1"/>
  <c r="O2" i="1" l="1"/>
  <c r="N3" i="1"/>
  <c r="O3" i="1" l="1"/>
  <c r="P2" i="1"/>
  <c r="P3" i="1" l="1"/>
  <c r="Q2" i="1"/>
  <c r="R2" i="1" l="1"/>
  <c r="Q3" i="1"/>
  <c r="S2" i="1" l="1"/>
  <c r="T2" i="1" s="1"/>
  <c r="T3" i="1" s="1"/>
  <c r="R3" i="1"/>
  <c r="S3" i="1" l="1"/>
  <c r="U2" i="1" l="1"/>
  <c r="V2" i="1" s="1"/>
  <c r="V3" i="1" s="1"/>
  <c r="U3" i="1" l="1"/>
  <c r="W2" i="1" l="1"/>
  <c r="W3" i="1" l="1"/>
  <c r="X2" i="1"/>
  <c r="X3" i="1" l="1"/>
  <c r="Y2" i="1"/>
  <c r="Z2" i="1" l="1"/>
  <c r="Y3" i="1"/>
  <c r="AA2" i="1" l="1"/>
  <c r="Z3" i="1"/>
  <c r="AA3" i="1" l="1"/>
  <c r="AB2" i="1"/>
  <c r="AB3" i="1" l="1"/>
  <c r="AC2" i="1"/>
  <c r="AD2" i="1" l="1"/>
  <c r="AC3" i="1"/>
  <c r="AE2" i="1" l="1"/>
  <c r="AF2" i="1" s="1"/>
  <c r="AD3" i="1"/>
  <c r="AE3" i="1" l="1"/>
  <c r="AF3" i="1" l="1"/>
  <c r="AG2" i="1"/>
  <c r="AH2" i="1" l="1"/>
  <c r="AH3" i="1" s="1"/>
  <c r="AG3" i="1"/>
  <c r="AJ8" i="1" l="1"/>
</calcChain>
</file>

<file path=xl/sharedStrings.xml><?xml version="1.0" encoding="utf-8"?>
<sst xmlns="http://schemas.openxmlformats.org/spreadsheetml/2006/main" count="20" uniqueCount="17">
  <si>
    <t>Total</t>
    <phoneticPr fontId="1"/>
  </si>
  <si>
    <t>Ratio</t>
    <phoneticPr fontId="1"/>
  </si>
  <si>
    <t>project name</t>
    <phoneticPr fontId="1"/>
  </si>
  <si>
    <t>A</t>
    <phoneticPr fontId="1"/>
  </si>
  <si>
    <t>B</t>
    <phoneticPr fontId="1"/>
  </si>
  <si>
    <t>Meditation center</t>
    <phoneticPr fontId="1"/>
  </si>
  <si>
    <t>Outside the project</t>
    <phoneticPr fontId="1"/>
  </si>
  <si>
    <t>CD</t>
  </si>
  <si>
    <t>BD</t>
  </si>
  <si>
    <t>DD</t>
  </si>
  <si>
    <t>SV</t>
  </si>
  <si>
    <t>Other</t>
  </si>
  <si>
    <t>Phase
Giai đoạn</t>
  </si>
  <si>
    <t>Phạm Nhựt Anh Khoa</t>
  </si>
  <si>
    <t>nghỉ phép</t>
  </si>
  <si>
    <t xml:space="preserve">Cảnh quan Nam Phú Hải </t>
  </si>
  <si>
    <t>Dự án anh Lê - 165 Trần não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</si>
</sst>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_);[Red]\(0.0\)"/>
    <numFmt numFmtId="165" formatCode="[$-409]mmm\-yy;@"/>
    <numFmt numFmtId="166" formatCode="dd"/>
  </numFmts>
  <fonts count="6">
    <font>
      <sz val="11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b/>
      <sz val="10"/>
      <color theme="1"/>
      <name val="Calibri"/>
      <family val="3"/>
      <charset val="128"/>
      <scheme val="minor"/>
    </font>
    <font>
      <sz val="10"/>
      <color theme="1"/>
      <name val="Calibri"/>
      <family val="3"/>
      <charset val="128"/>
      <scheme val="minor"/>
    </font>
    <font>
      <b/>
      <sz val="10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4" borderId="3" xfId="0" applyFont="1" applyFill="1" applyBorder="1" applyAlignment="1" applyProtection="1">
      <alignment vertical="center" shrinkToFit="1"/>
      <protection locked="0"/>
    </xf>
    <xf numFmtId="0" fontId="3" fillId="5" borderId="9" xfId="0" applyFont="1" applyFill="1" applyBorder="1" applyAlignment="1">
      <alignment vertical="center" shrinkToFit="1"/>
    </xf>
    <xf numFmtId="0" fontId="3" fillId="2" borderId="8" xfId="0" applyFont="1" applyFill="1" applyBorder="1" applyAlignment="1">
      <alignment horizontal="center" vertical="center" shrinkToFit="1"/>
    </xf>
    <xf numFmtId="164" fontId="3" fillId="0" borderId="10" xfId="0" applyNumberFormat="1" applyFont="1" applyBorder="1" applyAlignment="1">
      <alignment vertical="center" shrinkToFit="1"/>
    </xf>
    <xf numFmtId="164" fontId="3" fillId="0" borderId="3" xfId="0" applyNumberFormat="1" applyFont="1" applyBorder="1" applyAlignment="1">
      <alignment vertical="center" shrinkToFit="1"/>
    </xf>
    <xf numFmtId="9" fontId="3" fillId="0" borderId="3" xfId="0" applyNumberFormat="1" applyFont="1" applyBorder="1" applyAlignment="1">
      <alignment vertical="center" shrinkToFit="1"/>
    </xf>
    <xf numFmtId="164" fontId="3" fillId="3" borderId="3" xfId="0" applyNumberFormat="1" applyFont="1" applyFill="1" applyBorder="1" applyAlignment="1">
      <alignment vertical="center" shrinkToFit="1"/>
    </xf>
    <xf numFmtId="164" fontId="3" fillId="4" borderId="3" xfId="0" applyNumberFormat="1" applyFont="1" applyFill="1" applyBorder="1" applyAlignment="1">
      <alignment vertical="center" shrinkToFit="1"/>
    </xf>
    <xf numFmtId="164" fontId="3" fillId="5" borderId="9" xfId="0" applyNumberFormat="1" applyFont="1" applyFill="1" applyBorder="1" applyAlignment="1">
      <alignment vertical="center" shrinkToFit="1"/>
    </xf>
    <xf numFmtId="164" fontId="3" fillId="5" borderId="9" xfId="0" applyNumberFormat="1" applyFont="1" applyFill="1" applyBorder="1" applyAlignment="1" applyProtection="1">
      <alignment vertical="center" shrinkToFit="1"/>
      <protection locked="0"/>
    </xf>
    <xf numFmtId="164" fontId="3" fillId="0" borderId="9" xfId="0" applyNumberFormat="1" applyFont="1" applyBorder="1" applyAlignment="1">
      <alignment vertical="center" shrinkToFit="1"/>
    </xf>
    <xf numFmtId="0" fontId="3" fillId="0" borderId="0" xfId="0" applyFont="1" applyAlignment="1">
      <alignment vertical="center" shrinkToFit="1"/>
    </xf>
    <xf numFmtId="0" fontId="3" fillId="3" borderId="3" xfId="0" applyFont="1" applyFill="1" applyBorder="1" applyAlignment="1">
      <alignment horizontal="center" vertical="center" shrinkToFit="1"/>
    </xf>
    <xf numFmtId="0" fontId="3" fillId="3" borderId="3" xfId="0" applyFont="1" applyFill="1" applyBorder="1" applyAlignment="1">
      <alignment vertical="center" shrinkToFit="1"/>
    </xf>
    <xf numFmtId="0" fontId="3" fillId="4" borderId="3" xfId="0" applyFont="1" applyFill="1" applyBorder="1" applyAlignment="1">
      <alignment horizontal="center" vertical="center" shrinkToFit="1"/>
    </xf>
    <xf numFmtId="0" fontId="3" fillId="5" borderId="9" xfId="0" applyFont="1" applyFill="1" applyBorder="1" applyAlignment="1">
      <alignment horizontal="center" vertical="center" shrinkToFit="1"/>
    </xf>
    <xf numFmtId="0" fontId="2" fillId="2" borderId="11" xfId="0" applyFont="1" applyFill="1" applyBorder="1" applyAlignment="1">
      <alignment vertical="center" shrinkToFit="1"/>
    </xf>
    <xf numFmtId="0" fontId="2" fillId="2" borderId="11" xfId="0" applyFont="1" applyFill="1" applyBorder="1" applyAlignment="1">
      <alignment horizontal="left" vertical="center" shrinkToFit="1"/>
    </xf>
    <xf numFmtId="166" fontId="3" fillId="2" borderId="10" xfId="0" applyNumberFormat="1" applyFont="1" applyFill="1" applyBorder="1" applyAlignment="1">
      <alignment horizontal="center" vertical="center" shrinkToFit="1"/>
    </xf>
    <xf numFmtId="0" fontId="3" fillId="0" borderId="10" xfId="0" applyFont="1" applyBorder="1" applyAlignment="1">
      <alignment vertical="center" shrinkToFit="1"/>
    </xf>
    <xf numFmtId="9" fontId="3" fillId="0" borderId="10" xfId="0" applyNumberFormat="1" applyFont="1" applyBorder="1" applyAlignment="1">
      <alignment vertical="center" shrinkToFit="1"/>
    </xf>
    <xf numFmtId="0" fontId="4" fillId="0" borderId="0" xfId="0" applyFont="1" applyAlignment="1">
      <alignment vertical="center" shrinkToFit="1"/>
    </xf>
    <xf numFmtId="0" fontId="4" fillId="0" borderId="0" xfId="0" applyFont="1" applyAlignment="1">
      <alignment vertical="center" wrapText="1" shrinkToFit="1"/>
    </xf>
    <xf numFmtId="0" fontId="3" fillId="0" borderId="17" xfId="0" applyFont="1" applyBorder="1" applyAlignment="1">
      <alignment vertical="center" shrinkToFit="1"/>
    </xf>
    <xf numFmtId="0" fontId="2" fillId="2" borderId="17" xfId="0" applyFont="1" applyFill="1" applyBorder="1" applyAlignment="1">
      <alignment horizontal="left" vertical="center" shrinkToFit="1"/>
    </xf>
    <xf numFmtId="0" fontId="3" fillId="2" borderId="12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13" xfId="0" applyFont="1" applyFill="1" applyBorder="1" applyAlignment="1">
      <alignment horizontal="center" vertical="center" shrinkToFit="1"/>
    </xf>
    <xf numFmtId="0" fontId="3" fillId="0" borderId="15" xfId="0" applyFont="1" applyBorder="1" applyAlignment="1">
      <alignment vertical="center" shrinkToFit="1"/>
    </xf>
    <xf numFmtId="0" fontId="3" fillId="0" borderId="16" xfId="0" applyFont="1" applyBorder="1" applyAlignment="1">
      <alignment vertical="center" shrinkToFit="1"/>
    </xf>
    <xf numFmtId="0" fontId="5" fillId="2" borderId="1" xfId="0" applyFont="1" applyFill="1" applyBorder="1" applyAlignment="1">
      <alignment vertical="center" shrinkToFit="1"/>
    </xf>
    <xf numFmtId="0" fontId="5" fillId="2" borderId="2" xfId="0" applyFont="1" applyFill="1" applyBorder="1" applyAlignment="1">
      <alignment vertical="center" shrinkToFit="1"/>
    </xf>
    <xf numFmtId="0" fontId="3" fillId="2" borderId="4" xfId="0" applyFont="1" applyFill="1" applyBorder="1" applyAlignment="1">
      <alignment vertical="center" shrinkToFit="1"/>
    </xf>
    <xf numFmtId="0" fontId="3" fillId="2" borderId="5" xfId="0" applyFont="1" applyFill="1" applyBorder="1" applyAlignment="1">
      <alignment vertical="center" shrinkToFit="1"/>
    </xf>
    <xf numFmtId="0" fontId="3" fillId="2" borderId="6" xfId="0" applyFont="1" applyFill="1" applyBorder="1" applyAlignment="1">
      <alignment vertical="center" shrinkToFit="1"/>
    </xf>
    <xf numFmtId="0" fontId="3" fillId="2" borderId="7" xfId="0" applyFont="1" applyFill="1" applyBorder="1" applyAlignment="1">
      <alignment vertical="center" shrinkToFit="1"/>
    </xf>
    <xf numFmtId="0" fontId="3" fillId="2" borderId="12" xfId="0" applyFont="1" applyFill="1" applyBorder="1" applyAlignment="1">
      <alignment horizontal="center" vertical="center" wrapText="1" shrinkToFit="1"/>
    </xf>
    <xf numFmtId="165" fontId="2" fillId="2" borderId="1" xfId="0" applyNumberFormat="1" applyFont="1" applyFill="1" applyBorder="1" applyAlignment="1">
      <alignment horizontal="left" vertical="center" shrinkToFit="1"/>
    </xf>
    <xf numFmtId="165" fontId="2" fillId="2" borderId="11" xfId="0" applyNumberFormat="1" applyFont="1" applyFill="1" applyBorder="1" applyAlignment="1">
      <alignment horizontal="left" vertical="center" shrinkToFit="1"/>
    </xf>
    <xf numFmtId="9" fontId="3" fillId="0" borderId="3" xfId="0" applyNumberFormat="1" applyFont="1" applyBorder="1" applyAlignment="1">
      <alignment vertical="center" shrinkToFit="1"/>
    </xf>
    <xf numFmtId="9" fontId="3" fillId="0" borderId="3" xfId="0" applyNumberFormat="1" applyFont="1" applyBorder="1" applyAlignment="1">
      <alignment vertical="center" shrinkToFit="1"/>
    </xf>
  </cellXfs>
  <cellStyles count="1">
    <cellStyle name="Normal" xfId="0" builtinId="0"/>
  </cellStyles>
  <dxfs count="3">
    <dxf>
      <fill>
        <patternFill>
          <bgColor theme="5" tint="0.59996337778862885"/>
        </patternFill>
      </fill>
    </dxf>
    <dxf>
      <fill>
        <patternFill>
          <fgColor theme="5" tint="0.39994506668294322"/>
          <bgColor theme="5" tint="0.39994506668294322"/>
        </patternFill>
      </fill>
    </dxf>
    <dxf>
      <fill>
        <patternFill patternType="solid">
          <fgColor rgb="FFFFFF00"/>
          <bgColor theme="3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4"/>
  <sheetViews>
    <sheetView tabSelected="1" zoomScaleNormal="100" workbookViewId="0">
      <selection activeCell="AA15" sqref="AA15"/>
    </sheetView>
  </sheetViews>
  <sheetFormatPr defaultColWidth="9" defaultRowHeight="12.75"/>
  <cols>
    <col min="1" max="1" width="3.85546875" style="13" bestFit="1" customWidth="1"/>
    <col min="2" max="2" width="39.85546875" style="13" bestFit="1" customWidth="1"/>
    <col min="3" max="3" width="11.140625" style="13" customWidth="1"/>
    <col min="4" max="34" width="6.28515625" style="13" customWidth="1"/>
    <col min="35" max="36" width="9" style="13"/>
    <col min="37" max="16384" width="9" style="1"/>
  </cols>
  <sheetData>
    <row r="1" spans="1:36" ht="19.5" customHeight="1">
      <c r="A1" s="32" t="s">
        <v>13</v>
      </c>
      <c r="B1" s="33"/>
      <c r="C1" s="18"/>
      <c r="D1" s="39">
        <f>$D$2</f>
        <v>46082</v>
      </c>
      <c r="E1" s="40"/>
      <c r="F1" s="40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26"/>
      <c r="AI1" s="27" t="s">
        <v>0</v>
      </c>
      <c r="AJ1" s="27" t="s">
        <v>1</v>
      </c>
    </row>
    <row r="2" spans="1:36">
      <c r="A2" s="34" t="s">
        <v>2</v>
      </c>
      <c r="B2" s="35"/>
      <c r="C2" s="38" t="s">
        <v>12</v>
      </c>
      <c r="D2" s="20">
        <v>46082</v>
      </c>
      <c r="E2" s="20">
        <f>D2+1</f>
        <v>46083</v>
      </c>
      <c r="F2" s="20">
        <f>E2+1</f>
        <v>46084</v>
      </c>
      <c r="G2" s="20">
        <f t="shared" ref="G2:AG2" si="0">F2+1</f>
        <v>46085</v>
      </c>
      <c r="H2" s="20">
        <f t="shared" si="0"/>
        <v>46086</v>
      </c>
      <c r="I2" s="20">
        <f t="shared" si="0"/>
        <v>46087</v>
      </c>
      <c r="J2" s="20">
        <f t="shared" si="0"/>
        <v>46088</v>
      </c>
      <c r="K2" s="20">
        <f t="shared" si="0"/>
        <v>46089</v>
      </c>
      <c r="L2" s="20">
        <f>K2+1</f>
        <v>46090</v>
      </c>
      <c r="M2" s="20">
        <f t="shared" si="0"/>
        <v>46091</v>
      </c>
      <c r="N2" s="20">
        <f t="shared" si="0"/>
        <v>46092</v>
      </c>
      <c r="O2" s="20">
        <f t="shared" si="0"/>
        <v>46093</v>
      </c>
      <c r="P2" s="20">
        <f t="shared" si="0"/>
        <v>46094</v>
      </c>
      <c r="Q2" s="20">
        <f t="shared" si="0"/>
        <v>46095</v>
      </c>
      <c r="R2" s="20">
        <f t="shared" si="0"/>
        <v>46096</v>
      </c>
      <c r="S2" s="20">
        <f t="shared" si="0"/>
        <v>46097</v>
      </c>
      <c r="T2" s="20">
        <f>S2+1</f>
        <v>46098</v>
      </c>
      <c r="U2" s="20">
        <f t="shared" si="0"/>
        <v>46099</v>
      </c>
      <c r="V2" s="20">
        <f t="shared" si="0"/>
        <v>46100</v>
      </c>
      <c r="W2" s="20">
        <f t="shared" si="0"/>
        <v>46101</v>
      </c>
      <c r="X2" s="20">
        <f>W2+1</f>
        <v>46102</v>
      </c>
      <c r="Y2" s="20">
        <f t="shared" si="0"/>
        <v>46103</v>
      </c>
      <c r="Z2" s="20">
        <f t="shared" si="0"/>
        <v>46104</v>
      </c>
      <c r="AA2" s="20">
        <f t="shared" si="0"/>
        <v>46105</v>
      </c>
      <c r="AB2" s="20">
        <f t="shared" si="0"/>
        <v>46106</v>
      </c>
      <c r="AC2" s="20">
        <f t="shared" si="0"/>
        <v>46107</v>
      </c>
      <c r="AD2" s="20">
        <f t="shared" si="0"/>
        <v>46108</v>
      </c>
      <c r="AE2" s="20">
        <f t="shared" si="0"/>
        <v>46109</v>
      </c>
      <c r="AF2" s="20">
        <f t="shared" si="0"/>
        <v>46110</v>
      </c>
      <c r="AG2" s="20">
        <f t="shared" si="0"/>
        <v>46111</v>
      </c>
      <c r="AH2" s="20">
        <f>AG2+1</f>
        <v>46112</v>
      </c>
      <c r="AI2" s="28"/>
      <c r="AJ2" s="28"/>
    </row>
    <row r="3" spans="1:36" ht="13.5" thickBot="1">
      <c r="A3" s="36"/>
      <c r="B3" s="37"/>
      <c r="C3" s="29"/>
      <c r="D3" s="4" t="str">
        <f>IF(WEEKDAY(D2)=1,"CN","T"&amp;WEEKDAY(D2))</f>
        <v>CN</v>
      </c>
      <c r="E3" s="4" t="str">
        <f t="shared" ref="E3:AH3" si="1">IF(WEEKDAY(E2)=1,"CN","T"&amp;WEEKDAY(E2))</f>
        <v>T2</v>
      </c>
      <c r="F3" s="4" t="str">
        <f t="shared" ref="F3" si="2">IF(WEEKDAY(F2)=1,"CN","T"&amp;WEEKDAY(F2))</f>
        <v>T3</v>
      </c>
      <c r="G3" s="4" t="str">
        <f t="shared" si="1"/>
        <v>T4</v>
      </c>
      <c r="H3" s="4" t="str">
        <f t="shared" ref="H3" si="3">IF(WEEKDAY(H2)=1,"CN","T"&amp;WEEKDAY(H2))</f>
        <v>T5</v>
      </c>
      <c r="I3" s="4" t="str">
        <f t="shared" si="1"/>
        <v>T6</v>
      </c>
      <c r="J3" s="4" t="str">
        <f t="shared" si="1"/>
        <v>T7</v>
      </c>
      <c r="K3" s="4" t="str">
        <f t="shared" si="1"/>
        <v>CN</v>
      </c>
      <c r="L3" s="4" t="str">
        <f>IF(WEEKDAY(L2)=1,"CN","T"&amp;WEEKDAY(L2))</f>
        <v>T2</v>
      </c>
      <c r="M3" s="4" t="str">
        <f t="shared" si="1"/>
        <v>T3</v>
      </c>
      <c r="N3" s="4" t="str">
        <f t="shared" si="1"/>
        <v>T4</v>
      </c>
      <c r="O3" s="4" t="str">
        <f t="shared" si="1"/>
        <v>T5</v>
      </c>
      <c r="P3" s="4" t="str">
        <f t="shared" si="1"/>
        <v>T6</v>
      </c>
      <c r="Q3" s="4" t="str">
        <f t="shared" si="1"/>
        <v>T7</v>
      </c>
      <c r="R3" s="4" t="str">
        <f t="shared" si="1"/>
        <v>CN</v>
      </c>
      <c r="S3" s="4" t="str">
        <f t="shared" si="1"/>
        <v>T2</v>
      </c>
      <c r="T3" s="4" t="str">
        <f t="shared" ref="T3" si="4">IF(WEEKDAY(T2)=1,"CN","T"&amp;WEEKDAY(T2))</f>
        <v>T3</v>
      </c>
      <c r="U3" s="4" t="str">
        <f t="shared" si="1"/>
        <v>T4</v>
      </c>
      <c r="V3" s="4" t="str">
        <f t="shared" ref="V3" si="5">IF(WEEKDAY(V2)=1,"CN","T"&amp;WEEKDAY(V2))</f>
        <v>T5</v>
      </c>
      <c r="W3" s="4" t="str">
        <f t="shared" si="1"/>
        <v>T6</v>
      </c>
      <c r="X3" s="4" t="str">
        <f t="shared" si="1"/>
        <v>T7</v>
      </c>
      <c r="Y3" s="4" t="str">
        <f t="shared" si="1"/>
        <v>CN</v>
      </c>
      <c r="Z3" s="4" t="str">
        <f t="shared" si="1"/>
        <v>T2</v>
      </c>
      <c r="AA3" s="4" t="str">
        <f t="shared" si="1"/>
        <v>T3</v>
      </c>
      <c r="AB3" s="4" t="str">
        <f t="shared" si="1"/>
        <v>T4</v>
      </c>
      <c r="AC3" s="4" t="str">
        <f t="shared" si="1"/>
        <v>T5</v>
      </c>
      <c r="AD3" s="4" t="str">
        <f t="shared" si="1"/>
        <v>T6</v>
      </c>
      <c r="AE3" s="4" t="str">
        <f t="shared" si="1"/>
        <v>T7</v>
      </c>
      <c r="AF3" s="4" t="str">
        <f t="shared" si="1"/>
        <v>CN</v>
      </c>
      <c r="AG3" s="4" t="str">
        <f t="shared" si="1"/>
        <v>T2</v>
      </c>
      <c r="AH3" s="4" t="str">
        <f t="shared" si="1"/>
        <v>T3</v>
      </c>
      <c r="AI3" s="29"/>
      <c r="AJ3" s="29"/>
    </row>
    <row r="4" spans="1:36" ht="24.95" customHeight="1" thickTop="1">
      <c r="A4" s="14">
        <v>1</v>
      </c>
      <c r="B4" s="15" t="s">
        <v>16</v>
      </c>
      <c r="C4" s="15" t="s">
        <v>7</v>
      </c>
      <c r="D4" s="8">
        <v>0</v>
      </c>
      <c r="E4" s="8">
        <v>8</v>
      </c>
      <c r="F4" s="8">
        <v>8</v>
      </c>
      <c r="G4" s="8">
        <v>8</v>
      </c>
      <c r="H4" s="8">
        <v>8</v>
      </c>
      <c r="I4" s="8">
        <v>8</v>
      </c>
      <c r="J4" s="8">
        <v>8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8</v>
      </c>
      <c r="T4" s="8">
        <v>8</v>
      </c>
      <c r="U4" s="8">
        <v>8</v>
      </c>
      <c r="V4" s="8">
        <v>8</v>
      </c>
      <c r="W4" s="8">
        <v>8</v>
      </c>
      <c r="X4" s="8">
        <v>0</v>
      </c>
      <c r="Y4" s="8">
        <v>0</v>
      </c>
      <c r="Z4" s="8">
        <v>8</v>
      </c>
      <c r="AA4" s="8">
        <v>8</v>
      </c>
      <c r="AB4" s="8">
        <v>8</v>
      </c>
      <c r="AC4" s="8">
        <v>8</v>
      </c>
      <c r="AD4" s="8">
        <v>8</v>
      </c>
      <c r="AE4" s="8">
        <v>8</v>
      </c>
      <c r="AF4" s="8">
        <v>0</v>
      </c>
      <c r="AG4" s="8">
        <v>0</v>
      </c>
      <c r="AH4" s="8">
        <v>0</v>
      </c>
      <c r="AI4" s="6"/>
      <c r="AJ4" s="7"/>
    </row>
    <row r="5" spans="1:36" ht="24.95" customHeight="1">
      <c r="A5" s="14">
        <v>2</v>
      </c>
      <c r="B5" s="15" t="s">
        <v>15</v>
      </c>
      <c r="C5" s="15" t="s">
        <v>7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8</v>
      </c>
      <c r="M5" s="8">
        <v>8</v>
      </c>
      <c r="N5" s="8">
        <v>8</v>
      </c>
      <c r="O5" s="8">
        <v>8</v>
      </c>
      <c r="P5" s="8">
        <v>8</v>
      </c>
      <c r="Q5" s="8">
        <v>8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8</v>
      </c>
      <c r="AI5" s="6"/>
      <c r="AJ5" s="7"/>
    </row>
    <row r="6" spans="1:36" ht="24.95" customHeight="1">
      <c r="A6" s="16" t="s">
        <v>3</v>
      </c>
      <c r="B6" s="2" t="s">
        <v>5</v>
      </c>
      <c r="C6" s="2"/>
      <c r="D6" s="9">
        <v>0</v>
      </c>
      <c r="E6" s="9">
        <v>1</v>
      </c>
      <c r="F6" s="9">
        <v>1</v>
      </c>
      <c r="G6" s="9">
        <v>1</v>
      </c>
      <c r="H6" s="9">
        <v>1</v>
      </c>
      <c r="I6" s="9">
        <v>1</v>
      </c>
      <c r="J6" s="9">
        <v>1</v>
      </c>
      <c r="K6" s="9">
        <v>0</v>
      </c>
      <c r="L6" s="9">
        <v>1</v>
      </c>
      <c r="M6" s="9">
        <v>1</v>
      </c>
      <c r="N6" s="9">
        <v>1</v>
      </c>
      <c r="O6" s="9">
        <v>1</v>
      </c>
      <c r="P6" s="9">
        <v>1</v>
      </c>
      <c r="Q6" s="9">
        <v>1</v>
      </c>
      <c r="R6" s="9">
        <v>0</v>
      </c>
      <c r="S6" s="9">
        <v>1</v>
      </c>
      <c r="T6" s="9">
        <v>1</v>
      </c>
      <c r="U6" s="9">
        <v>1</v>
      </c>
      <c r="V6" s="9">
        <v>1</v>
      </c>
      <c r="W6" s="9">
        <v>1</v>
      </c>
      <c r="X6" s="9">
        <v>0</v>
      </c>
      <c r="Y6" s="9">
        <v>0</v>
      </c>
      <c r="Z6" s="9">
        <v>1</v>
      </c>
      <c r="AA6" s="9">
        <v>1</v>
      </c>
      <c r="AB6" s="9">
        <v>1</v>
      </c>
      <c r="AC6" s="9">
        <v>1</v>
      </c>
      <c r="AD6" s="9">
        <v>1</v>
      </c>
      <c r="AE6" s="9">
        <v>1</v>
      </c>
      <c r="AF6" s="9">
        <v>1</v>
      </c>
      <c r="AG6" s="9">
        <v>0</v>
      </c>
      <c r="AH6" s="9">
        <v>0</v>
      </c>
      <c r="AI6" s="6">
        <f>SUM(D6:AH6)</f>
        <v>24</v>
      </c>
      <c r="AJ6" s="42">
        <v>0.1276595744680851</v>
      </c>
    </row>
    <row r="7" spans="1:36" ht="24.95" customHeight="1" thickBot="1">
      <c r="A7" s="17" t="s">
        <v>4</v>
      </c>
      <c r="B7" s="3" t="s">
        <v>6</v>
      </c>
      <c r="C7" s="3"/>
      <c r="D7" s="3"/>
      <c r="E7" s="10"/>
      <c r="F7" s="10"/>
      <c r="G7" s="10"/>
      <c r="H7" s="11"/>
      <c r="I7" s="11"/>
      <c r="J7" s="11"/>
      <c r="K7" s="10"/>
      <c r="L7" s="11"/>
      <c r="M7" s="11"/>
      <c r="N7" s="11"/>
      <c r="O7" s="11"/>
      <c r="P7" s="11"/>
      <c r="Q7" s="11"/>
      <c r="R7" s="10"/>
      <c r="S7" s="11"/>
      <c r="T7" s="10"/>
      <c r="U7" s="10"/>
      <c r="V7" s="11"/>
      <c r="W7" s="11"/>
      <c r="X7" s="11"/>
      <c r="Y7" s="10"/>
      <c r="Z7" s="11"/>
      <c r="AA7" s="11"/>
      <c r="AB7" s="11"/>
      <c r="AC7" s="11"/>
      <c r="AD7" s="11"/>
      <c r="AE7" s="11"/>
      <c r="AF7" s="11"/>
      <c r="AG7" s="11"/>
      <c r="AH7" s="11"/>
      <c r="AI7" s="12">
        <f>SUM(D7:AG7)</f>
        <v>0</v>
      </c>
      <c r="AJ7" s="41">
        <v>0</v>
      </c>
    </row>
    <row r="8" spans="1:36" ht="24.95" customHeight="1">
      <c r="A8" s="30" t="s">
        <v>0</v>
      </c>
      <c r="B8" s="31"/>
      <c r="C8" s="21"/>
      <c r="D8" s="5">
        <f>SUM(D4:D7)</f>
        <v>0</v>
      </c>
      <c r="E8" s="5">
        <f>SUM(E4:E7)</f>
        <v>9</v>
      </c>
      <c r="F8" s="5">
        <f>SUM(F4:F7)</f>
        <v>9</v>
      </c>
      <c r="G8" s="5">
        <v>0</v>
      </c>
      <c r="H8" s="5">
        <f>SUM(H4:H7)</f>
        <v>9</v>
      </c>
      <c r="I8" s="5">
        <f>SUM(I4:I7)</f>
        <v>9</v>
      </c>
      <c r="J8" s="5">
        <f>SUM(J4:J7)</f>
        <v>9</v>
      </c>
      <c r="K8" s="5">
        <v>9</v>
      </c>
      <c r="L8" s="5">
        <f t="shared" ref="L8:AG8" si="6">SUM(L4:L7)</f>
        <v>9</v>
      </c>
      <c r="M8" s="5">
        <f t="shared" si="6"/>
        <v>9</v>
      </c>
      <c r="N8" s="5">
        <f t="shared" si="6"/>
        <v>9</v>
      </c>
      <c r="O8" s="5">
        <f t="shared" si="6"/>
        <v>9</v>
      </c>
      <c r="P8" s="5">
        <f t="shared" si="6"/>
        <v>9</v>
      </c>
      <c r="Q8" s="5">
        <f t="shared" si="6"/>
        <v>9</v>
      </c>
      <c r="R8" s="5">
        <f t="shared" si="6"/>
        <v>0</v>
      </c>
      <c r="S8" s="5">
        <f t="shared" si="6"/>
        <v>9</v>
      </c>
      <c r="T8" s="5">
        <f t="shared" si="6"/>
        <v>9</v>
      </c>
      <c r="U8" s="5">
        <f t="shared" si="6"/>
        <v>9</v>
      </c>
      <c r="V8" s="5">
        <f t="shared" si="6"/>
        <v>9</v>
      </c>
      <c r="W8" s="5">
        <f t="shared" si="6"/>
        <v>9</v>
      </c>
      <c r="X8" s="5">
        <f t="shared" si="6"/>
        <v>0</v>
      </c>
      <c r="Y8" s="5">
        <f t="shared" si="6"/>
        <v>0</v>
      </c>
      <c r="Z8" s="5">
        <f t="shared" si="6"/>
        <v>9</v>
      </c>
      <c r="AA8" s="5">
        <f t="shared" si="6"/>
        <v>9</v>
      </c>
      <c r="AB8" s="5">
        <f t="shared" si="6"/>
        <v>9</v>
      </c>
      <c r="AC8" s="5">
        <f t="shared" si="6"/>
        <v>9</v>
      </c>
      <c r="AD8" s="5">
        <f t="shared" si="6"/>
        <v>9</v>
      </c>
      <c r="AE8" s="5">
        <f t="shared" si="6"/>
        <v>9</v>
      </c>
      <c r="AF8" s="5">
        <f t="shared" si="6"/>
        <v>1</v>
      </c>
      <c r="AG8" s="5">
        <f t="shared" si="6"/>
        <v>0</v>
      </c>
      <c r="AH8" s="5">
        <v>0</v>
      </c>
      <c r="AI8" s="5">
        <f>SUM(AI4:AI5)</f>
        <v>0</v>
      </c>
      <c r="AJ8" s="22">
        <f>SUM(AJ4:AJ5)</f>
        <v>0</v>
      </c>
    </row>
    <row r="9" spans="1:36" ht="24.95" customHeight="1">
      <c r="D9" s="25"/>
      <c r="L9" s="25" t="s">
        <v>14</v>
      </c>
      <c r="P9" s="25"/>
      <c r="Q9" s="25"/>
      <c r="R9" s="25"/>
      <c r="T9" s="25"/>
      <c r="U9" s="25"/>
      <c r="V9" s="25"/>
      <c r="AF9" s="25"/>
    </row>
    <row r="10" spans="1:36">
      <c r="G10" s="23"/>
      <c r="H10" s="24"/>
      <c r="AC10" s="24"/>
      <c r="AD10" s="24"/>
    </row>
    <row r="11" spans="1:36">
      <c r="H11" s="23"/>
      <c r="AC11" s="23"/>
      <c r="AD11" s="23"/>
    </row>
    <row r="12" spans="1:36">
      <c r="H12" s="23"/>
      <c r="AC12" s="23"/>
      <c r="AD12" s="23"/>
    </row>
    <row r="13" spans="1:36">
      <c r="H13" s="23"/>
      <c r="AC13" s="23"/>
      <c r="AD13" s="23"/>
    </row>
    <row r="14" spans="1:36">
      <c r="H14" s="23"/>
      <c r="AC14" s="23"/>
      <c r="AD14" s="23"/>
    </row>
    <row r="15" spans="1:36">
      <c r="H15" s="23"/>
      <c r="AC15" s="23"/>
      <c r="AD15" s="23"/>
    </row>
    <row r="30" spans="3:3">
      <c r="C30" s="13" t="s">
        <v>7</v>
      </c>
    </row>
    <row r="31" spans="3:3">
      <c r="C31" s="13" t="s">
        <v>8</v>
      </c>
    </row>
    <row r="32" spans="3:3">
      <c r="C32" s="13" t="s">
        <v>9</v>
      </c>
    </row>
    <row r="33" spans="3:3">
      <c r="C33" s="13" t="s">
        <v>10</v>
      </c>
    </row>
    <row r="34" spans="3:3">
      <c r="C34" s="13" t="s">
        <v>11</v>
      </c>
    </row>
  </sheetData>
  <mergeCells count="7">
    <mergeCell ref="AJ1:AJ3"/>
    <mergeCell ref="A8:B8"/>
    <mergeCell ref="A1:B1"/>
    <mergeCell ref="AI1:AI3"/>
    <mergeCell ref="A2:B3"/>
    <mergeCell ref="C2:C3"/>
    <mergeCell ref="D1:F1"/>
  </mergeCells>
  <phoneticPr fontId="1"/>
  <conditionalFormatting sqref="D2:AH3">
    <cfRule type="expression" dxfId="2" priority="2">
      <formula>"if(weekday(D$2)=1;true;false)"</formula>
    </cfRule>
    <cfRule type="expression" dxfId="1" priority="3" stopIfTrue="1">
      <formula xml:space="preserve"> WEEKDAY(D$3,2)&gt; 5</formula>
    </cfRule>
  </conditionalFormatting>
  <conditionalFormatting sqref="D2:AH8">
    <cfRule type="expression" dxfId="0" priority="1">
      <formula>WEEKDAY(D$2)=1</formula>
    </cfRule>
  </conditionalFormatting>
  <dataValidations count="1">
    <dataValidation type="list" allowBlank="1" showInputMessage="1" showErrorMessage="1" sqref="C4:C7" xr:uid="{00000000-0002-0000-0000-000000000000}">
      <formula1>$C$30:$C$34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Phạm Nhựt Anh Khoa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</dc:creator>
  <cp:lastModifiedBy>anh khoa.</cp:lastModifiedBy>
  <dcterms:created xsi:type="dcterms:W3CDTF">2019-09-20T09:47:21Z</dcterms:created>
  <dcterms:modified xsi:type="dcterms:W3CDTF">2026-05-05T11:11:26Z</dcterms:modified>
</cp:coreProperties>
</file>